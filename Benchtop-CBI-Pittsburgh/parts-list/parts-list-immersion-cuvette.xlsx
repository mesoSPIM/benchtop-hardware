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ikita\Documents\GitHub\mesoSPIM-bt-hardware\Benchtop-CBI-Pittsburgh\parts-list\"/>
    </mc:Choice>
  </mc:AlternateContent>
  <xr:revisionPtr revIDLastSave="0" documentId="13_ncr:1_{BF323FA9-FD2C-46CD-A75E-C43784AA50C6}" xr6:coauthVersionLast="47" xr6:coauthVersionMax="47" xr10:uidLastSave="{00000000-0000-0000-0000-000000000000}"/>
  <bookViews>
    <workbookView xWindow="10920" yWindow="4836" windowWidth="32100" windowHeight="165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3" i="1"/>
  <c r="F12" i="1"/>
  <c r="F7" i="1"/>
  <c r="F6" i="1"/>
  <c r="F4" i="1"/>
  <c r="F5" i="1"/>
  <c r="F3" i="1"/>
</calcChain>
</file>

<file path=xl/sharedStrings.xml><?xml version="1.0" encoding="utf-8"?>
<sst xmlns="http://schemas.openxmlformats.org/spreadsheetml/2006/main" count="72" uniqueCount="62">
  <si>
    <t xml:space="preserve">Part # </t>
  </si>
  <si>
    <t xml:space="preserve">Vendor </t>
  </si>
  <si>
    <t>QTY</t>
  </si>
  <si>
    <t>Unit Price (USD)</t>
  </si>
  <si>
    <t>Price (USD)</t>
  </si>
  <si>
    <t>Comment</t>
  </si>
  <si>
    <t>Name</t>
  </si>
  <si>
    <t>self-printed</t>
  </si>
  <si>
    <t>Cuvette frame</t>
  </si>
  <si>
    <t>varies</t>
  </si>
  <si>
    <t>Amazon or AliExpress</t>
  </si>
  <si>
    <r>
      <t xml:space="preserve">ULANZI Claw Quick Release </t>
    </r>
    <r>
      <rPr>
        <b/>
        <sz val="11"/>
        <color theme="1"/>
        <rFont val="Calibri"/>
        <family val="2"/>
        <scheme val="minor"/>
      </rPr>
      <t>Base</t>
    </r>
    <r>
      <rPr>
        <sz val="11"/>
        <color theme="1"/>
        <rFont val="Calibri"/>
        <family val="2"/>
        <scheme val="minor"/>
      </rPr>
      <t xml:space="preserve"> Mount Upgraded Version</t>
    </r>
  </si>
  <si>
    <t>https://de.aliexpress.com/item/1005007537889780.html</t>
  </si>
  <si>
    <t>https://de.aliexpress.com/item/1005001758039535.html</t>
  </si>
  <si>
    <r>
      <t xml:space="preserve">Ulanzi U-100 </t>
    </r>
    <r>
      <rPr>
        <b/>
        <sz val="11"/>
        <color theme="1"/>
        <rFont val="Calibri"/>
        <family val="2"/>
        <scheme val="minor"/>
      </rPr>
      <t>Ball Head</t>
    </r>
    <r>
      <rPr>
        <sz val="11"/>
        <color theme="1"/>
        <rFont val="Calibri"/>
        <family val="2"/>
        <scheme val="minor"/>
      </rPr>
      <t xml:space="preserve"> for Tripod With Claw Quick Release Plate Mount</t>
    </r>
  </si>
  <si>
    <t>Brain Research Laboratories</t>
  </si>
  <si>
    <t>3875-plus</t>
  </si>
  <si>
    <t>38 x 75 x 1.0mm Adhesion Superfrost Plus (1 gross/144 slides)</t>
  </si>
  <si>
    <t>cuvette-v1.STL</t>
  </si>
  <si>
    <t>Can be printed using Formlabs4 printer, suing Clear V5 Resin, with curing. CAD models in "...\custom_parts\ImmersionChambers\"</t>
  </si>
  <si>
    <t>https://brainresearchlab.com/product/adhesion-superfrost-plus-microscope-slides/</t>
  </si>
  <si>
    <t>Red Devil Sealant: 10.1 oz Cartridge, Clear, Silicone</t>
  </si>
  <si>
    <t xml:space="preserve">https://www.mscdirect.com/product/details/66239195 </t>
  </si>
  <si>
    <t>SI595</t>
  </si>
  <si>
    <t>Henkel</t>
  </si>
  <si>
    <t>Loctite SI 595</t>
  </si>
  <si>
    <t>Any similar consumer-grade silicone should do, but some are too viscous and hard to apply</t>
  </si>
  <si>
    <t>https://www.henkel-adhesives.com/pa/en/product/flexible-sealants/loctite_si_595.html</t>
  </si>
  <si>
    <t>249-75X50</t>
  </si>
  <si>
    <t>Corning</t>
  </si>
  <si>
    <t>https://ecatalog.corning.com/life-sciences/b2b/CH/en/General-Labware/Slides/Corning%C2%AE-Plain-Microscope-Slide/p/2947-75X50</t>
  </si>
  <si>
    <t>https://www.fishersci.com/shop/products/plain-microscope-slides-15/125535B</t>
  </si>
  <si>
    <t>URL1</t>
  </si>
  <si>
    <t>URL2</t>
  </si>
  <si>
    <t>Microscope slides plain pre-cleaned 75x50x1 mm</t>
  </si>
  <si>
    <t>Original slides used in CBI Pittsburgh</t>
  </si>
  <si>
    <t>Modification (wide slides). Actual slide width is 51 mm, not 50. Come in huge box of 720 slides.</t>
  </si>
  <si>
    <t>cuvette-w70mm-slide50x75mm-v2.stp</t>
  </si>
  <si>
    <t>SLS printed from PA12</t>
  </si>
  <si>
    <t>cuvette frame, inner dimensions: 65x55x80mm</t>
  </si>
  <si>
    <t>Larger cuvette than the original. CAD models in "...\custom_parts\ImmersionChambers\Slide-50x75mm-v1"</t>
  </si>
  <si>
    <t>same as in the original</t>
  </si>
  <si>
    <t>Medium viscous, can be squezed out with moderate force. Alternative to Red Devil, avaliable in Europe.</t>
  </si>
  <si>
    <t>Tholabs</t>
  </si>
  <si>
    <t>https://www.thorlabs.com/item/UBP2_M</t>
  </si>
  <si>
    <t>UBP2/M</t>
  </si>
  <si>
    <t>Universal Base Plate, 65 mm x 65 mm x 10 mm, Metric</t>
  </si>
  <si>
    <t>Optional but nice to store cuvettes (wide base)</t>
  </si>
  <si>
    <r>
      <rPr>
        <b/>
        <sz val="11"/>
        <color theme="1"/>
        <rFont val="Calibri"/>
        <family val="2"/>
        <scheme val="minor"/>
      </rPr>
      <t xml:space="preserve">Base </t>
    </r>
    <r>
      <rPr>
        <sz val="11"/>
        <color theme="1"/>
        <rFont val="Calibri"/>
        <family val="2"/>
        <scheme val="minor"/>
      </rPr>
      <t xml:space="preserve">mount to breadboard + cuvette </t>
    </r>
    <r>
      <rPr>
        <b/>
        <sz val="11"/>
        <color theme="1"/>
        <rFont val="Calibri"/>
        <family val="2"/>
        <scheme val="minor"/>
      </rPr>
      <t>plate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kit</t>
    </r>
    <r>
      <rPr>
        <sz val="11"/>
        <color theme="1"/>
        <rFont val="Calibri"/>
        <family val="2"/>
        <scheme val="minor"/>
      </rPr>
      <t>)</t>
    </r>
  </si>
  <si>
    <t>Thorlabs</t>
  </si>
  <si>
    <t>PS15M</t>
  </si>
  <si>
    <t>Mounting Post Spacer, Height = 15 mm</t>
  </si>
  <si>
    <t>https://www.thorlabs.com/item/PS15M</t>
  </si>
  <si>
    <t>Pedestal</t>
  </si>
  <si>
    <t>RC2/M</t>
  </si>
  <si>
    <t>Dovetail Rail Carrier, 50.8 mm x 25.4 mm, M6 Counterbore, M4 Taps</t>
  </si>
  <si>
    <t>https://www.thorlabs.com/item/RC2_M</t>
  </si>
  <si>
    <t xml:space="preserve">1/4-20 socket head cap screw L=37 mm </t>
  </si>
  <si>
    <t>Presentation: docs/Mesospim_cuvettes.pptx</t>
  </si>
  <si>
    <t>Photos: docs/photos-version50mm-wide-SLSprinted(UZH)/</t>
  </si>
  <si>
    <t>Modification (UZH): glass windows 50 mm wide</t>
  </si>
  <si>
    <t>Original Version (CBI Pittsburgh): glass windows 38 mm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</si>
</sst>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Fon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scdirect.com/product/details/66239195" TargetMode="External"/><Relationship Id="rId1" Type="http://schemas.openxmlformats.org/officeDocument/2006/relationships/hyperlink" Target="https://de.aliexpress.com/item/10050075378897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B26" sqref="B26"/>
    </sheetView>
  </sheetViews>
  <sheetFormatPr defaultRowHeight="14.4" x14ac:dyDescent="0.3"/>
  <cols>
    <col min="1" max="1" width="28.6640625" customWidth="1"/>
    <col min="2" max="2" width="23.5546875" customWidth="1"/>
    <col min="3" max="3" width="61.109375" customWidth="1"/>
    <col min="6" max="6" width="16.109375" customWidth="1"/>
    <col min="7" max="7" width="39.5546875" customWidth="1"/>
  </cols>
  <sheetData>
    <row r="1" spans="1:9" s="1" customForma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32</v>
      </c>
      <c r="I1" s="1" t="s">
        <v>33</v>
      </c>
    </row>
    <row r="2" spans="1:9" s="5" customFormat="1" x14ac:dyDescent="0.3">
      <c r="A2" s="5" t="s">
        <v>61</v>
      </c>
    </row>
    <row r="3" spans="1:9" x14ac:dyDescent="0.3">
      <c r="A3" t="s">
        <v>18</v>
      </c>
      <c r="B3" t="s">
        <v>7</v>
      </c>
      <c r="C3" t="s">
        <v>8</v>
      </c>
      <c r="D3">
        <v>5</v>
      </c>
      <c r="E3">
        <v>20</v>
      </c>
      <c r="F3">
        <f>D3*E3</f>
        <v>100</v>
      </c>
      <c r="G3" t="s">
        <v>19</v>
      </c>
    </row>
    <row r="4" spans="1:9" x14ac:dyDescent="0.3">
      <c r="A4" t="s">
        <v>9</v>
      </c>
      <c r="B4" t="s">
        <v>10</v>
      </c>
      <c r="C4" t="s">
        <v>11</v>
      </c>
      <c r="D4">
        <v>5</v>
      </c>
      <c r="E4">
        <v>20</v>
      </c>
      <c r="F4">
        <f t="shared" ref="F4:F7" si="0">D4*E4</f>
        <v>100</v>
      </c>
      <c r="G4" t="s">
        <v>48</v>
      </c>
      <c r="H4" s="3" t="s">
        <v>12</v>
      </c>
    </row>
    <row r="5" spans="1:9" x14ac:dyDescent="0.3">
      <c r="A5" t="s">
        <v>9</v>
      </c>
      <c r="B5" t="s">
        <v>10</v>
      </c>
      <c r="C5" t="s">
        <v>14</v>
      </c>
      <c r="D5">
        <v>1</v>
      </c>
      <c r="E5">
        <v>30</v>
      </c>
      <c r="F5">
        <f t="shared" si="0"/>
        <v>30</v>
      </c>
      <c r="G5" t="s">
        <v>14</v>
      </c>
      <c r="H5" t="s">
        <v>13</v>
      </c>
    </row>
    <row r="6" spans="1:9" x14ac:dyDescent="0.3">
      <c r="A6" t="s">
        <v>16</v>
      </c>
      <c r="B6" t="s">
        <v>15</v>
      </c>
      <c r="C6" t="s">
        <v>17</v>
      </c>
      <c r="D6">
        <v>1</v>
      </c>
      <c r="E6">
        <v>164</v>
      </c>
      <c r="F6">
        <f>D6*E6</f>
        <v>164</v>
      </c>
      <c r="G6" t="s">
        <v>35</v>
      </c>
      <c r="H6" t="s">
        <v>20</v>
      </c>
    </row>
    <row r="7" spans="1:9" x14ac:dyDescent="0.3">
      <c r="A7" s="2">
        <v>66239195</v>
      </c>
      <c r="B7" t="s">
        <v>9</v>
      </c>
      <c r="C7" t="s">
        <v>21</v>
      </c>
      <c r="D7">
        <v>1</v>
      </c>
      <c r="E7">
        <v>15</v>
      </c>
      <c r="F7">
        <f t="shared" si="0"/>
        <v>15</v>
      </c>
      <c r="G7" t="s">
        <v>26</v>
      </c>
      <c r="H7" s="3" t="s">
        <v>22</v>
      </c>
    </row>
    <row r="8" spans="1:9" s="8" customFormat="1" x14ac:dyDescent="0.3">
      <c r="A8" s="7" t="s">
        <v>58</v>
      </c>
    </row>
    <row r="11" spans="1:9" s="6" customFormat="1" x14ac:dyDescent="0.3">
      <c r="A11" s="5" t="s">
        <v>60</v>
      </c>
    </row>
    <row r="12" spans="1:9" x14ac:dyDescent="0.3">
      <c r="A12" t="s">
        <v>37</v>
      </c>
      <c r="B12" t="s">
        <v>38</v>
      </c>
      <c r="C12" t="s">
        <v>39</v>
      </c>
      <c r="D12">
        <v>5</v>
      </c>
      <c r="E12">
        <v>50</v>
      </c>
      <c r="F12">
        <f>D12*E12</f>
        <v>250</v>
      </c>
      <c r="G12" t="s">
        <v>40</v>
      </c>
    </row>
    <row r="13" spans="1:9" x14ac:dyDescent="0.3">
      <c r="A13" t="s">
        <v>9</v>
      </c>
      <c r="B13" t="s">
        <v>10</v>
      </c>
      <c r="C13" t="s">
        <v>11</v>
      </c>
      <c r="D13">
        <v>5</v>
      </c>
      <c r="E13">
        <v>20</v>
      </c>
      <c r="F13">
        <f t="shared" ref="F13" si="1">D13*E13</f>
        <v>100</v>
      </c>
      <c r="G13" s="4" t="s">
        <v>41</v>
      </c>
      <c r="H13" s="3"/>
    </row>
    <row r="14" spans="1:9" x14ac:dyDescent="0.3">
      <c r="A14" t="s">
        <v>28</v>
      </c>
      <c r="B14" t="s">
        <v>29</v>
      </c>
      <c r="C14" t="s">
        <v>34</v>
      </c>
      <c r="D14">
        <v>1</v>
      </c>
      <c r="E14">
        <v>415</v>
      </c>
      <c r="F14">
        <v>415</v>
      </c>
      <c r="G14" t="s">
        <v>36</v>
      </c>
      <c r="H14" t="s">
        <v>30</v>
      </c>
      <c r="I14" t="s">
        <v>31</v>
      </c>
    </row>
    <row r="15" spans="1:9" x14ac:dyDescent="0.3">
      <c r="A15" t="s">
        <v>23</v>
      </c>
      <c r="B15" t="s">
        <v>24</v>
      </c>
      <c r="C15" t="s">
        <v>25</v>
      </c>
      <c r="D15">
        <v>1</v>
      </c>
      <c r="E15">
        <v>25</v>
      </c>
      <c r="F15">
        <v>25</v>
      </c>
      <c r="G15" t="s">
        <v>42</v>
      </c>
      <c r="H15" t="s">
        <v>27</v>
      </c>
    </row>
    <row r="16" spans="1:9" x14ac:dyDescent="0.3">
      <c r="A16" t="s">
        <v>45</v>
      </c>
      <c r="B16" t="s">
        <v>43</v>
      </c>
      <c r="C16" t="s">
        <v>46</v>
      </c>
      <c r="D16">
        <v>5</v>
      </c>
      <c r="E16">
        <v>41</v>
      </c>
      <c r="F16">
        <f>D16*41</f>
        <v>205</v>
      </c>
      <c r="G16" t="s">
        <v>47</v>
      </c>
      <c r="H16" t="s">
        <v>44</v>
      </c>
    </row>
    <row r="17" spans="1:8" x14ac:dyDescent="0.3">
      <c r="A17" t="s">
        <v>50</v>
      </c>
      <c r="B17" t="s">
        <v>49</v>
      </c>
      <c r="C17" t="s">
        <v>51</v>
      </c>
      <c r="D17">
        <v>2</v>
      </c>
      <c r="E17">
        <v>11</v>
      </c>
      <c r="F17">
        <f>D17*E17</f>
        <v>22</v>
      </c>
      <c r="G17" t="s">
        <v>53</v>
      </c>
      <c r="H17" t="s">
        <v>52</v>
      </c>
    </row>
    <row r="18" spans="1:8" x14ac:dyDescent="0.3">
      <c r="A18" t="s">
        <v>9</v>
      </c>
      <c r="B18" t="s">
        <v>49</v>
      </c>
      <c r="C18" t="s">
        <v>57</v>
      </c>
      <c r="D18">
        <v>1</v>
      </c>
      <c r="E18">
        <v>1</v>
      </c>
      <c r="F18">
        <f>D18*E18</f>
        <v>1</v>
      </c>
    </row>
    <row r="19" spans="1:8" x14ac:dyDescent="0.3">
      <c r="A19" t="s">
        <v>54</v>
      </c>
      <c r="B19" t="s">
        <v>49</v>
      </c>
      <c r="C19" t="s">
        <v>55</v>
      </c>
      <c r="D19">
        <v>1</v>
      </c>
      <c r="E19">
        <v>33</v>
      </c>
      <c r="F19">
        <f>D19*E19</f>
        <v>33</v>
      </c>
      <c r="H19" t="s">
        <v>56</v>
      </c>
    </row>
    <row r="20" spans="1:8" s="8" customFormat="1" x14ac:dyDescent="0.3">
      <c r="A20" s="7" t="s">
        <v>59</v>
      </c>
    </row>
  </sheetData>
  <hyperlinks>
    <hyperlink ref="H4" r:id="rId1" xr:uid="{4394F167-51B7-4644-97D5-961D7C82B108}"/>
    <hyperlink ref="H7" r:id="rId2" xr:uid="{B961D546-FD03-420D-A492-D7E5932E22D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Nikita Vladimirov</cp:lastModifiedBy>
  <dcterms:created xsi:type="dcterms:W3CDTF">2015-06-05T18:17:20Z</dcterms:created>
  <dcterms:modified xsi:type="dcterms:W3CDTF">2026-01-26T13:20:01Z</dcterms:modified>
</cp:coreProperties>
</file>